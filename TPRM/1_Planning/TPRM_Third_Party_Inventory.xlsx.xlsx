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95292CD-5FDD-407D-A3A7-7F62096C1378}" xr6:coauthVersionLast="47" xr6:coauthVersionMax="47" xr10:uidLastSave="{00000000-0000-0000-0000-000000000000}"/>
  <bookViews>
    <workbookView xWindow="22932" yWindow="-108" windowWidth="23256" windowHeight="12456" firstSheet="1" activeTab="2" xr2:uid="{00000000-000D-0000-FFFF-FFFF00000000}"/>
  </bookViews>
  <sheets>
    <sheet name="Reference Data" sheetId="2" state="hidden" r:id="rId1"/>
    <sheet name="Dashboard" sheetId="3" r:id="rId2"/>
    <sheet name="Third-Party Invento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nM9AIOCCZFgjy7o5OyEKX4HSi5elGREgXXDeaykME88="/>
    </ext>
  </extLst>
</workbook>
</file>

<file path=xl/calcChain.xml><?xml version="1.0" encoding="utf-8"?>
<calcChain xmlns="http://schemas.openxmlformats.org/spreadsheetml/2006/main">
  <c r="C14" i="3" l="1"/>
  <c r="C13" i="3"/>
  <c r="C12" i="3"/>
  <c r="C11" i="3"/>
  <c r="H5" i="3"/>
  <c r="F5" i="3"/>
  <c r="D5" i="3"/>
  <c r="B5" i="3"/>
</calcChain>
</file>

<file path=xl/sharedStrings.xml><?xml version="1.0" encoding="utf-8"?>
<sst xmlns="http://schemas.openxmlformats.org/spreadsheetml/2006/main" count="256" uniqueCount="197">
  <si>
    <t>Service Category</t>
  </si>
  <si>
    <t>MASTER THIRD-PARTY INVENTORY</t>
  </si>
  <si>
    <t>Discovery Source</t>
  </si>
  <si>
    <t>Risk Rating</t>
  </si>
  <si>
    <t>Contract Status</t>
  </si>
  <si>
    <t>Scope Status</t>
  </si>
  <si>
    <t>Due Diligence Status</t>
  </si>
  <si>
    <t>Software</t>
  </si>
  <si>
    <t>Contracts</t>
  </si>
  <si>
    <t>Critical</t>
  </si>
  <si>
    <t>Active</t>
  </si>
  <si>
    <t>In Scope</t>
  </si>
  <si>
    <t>Central repository for tracking vendor relationships, discovery sources, risk classifications, and due diligence activities.</t>
  </si>
  <si>
    <t>Completed</t>
  </si>
  <si>
    <t>Hardware</t>
  </si>
  <si>
    <t>Accounts Payable</t>
  </si>
  <si>
    <t>High</t>
  </si>
  <si>
    <t>Pending</t>
  </si>
  <si>
    <t>Out of Scope</t>
  </si>
  <si>
    <t>In Progress</t>
  </si>
  <si>
    <t>Hosted Solutions</t>
  </si>
  <si>
    <t>Purchasing Card (P-Card)</t>
  </si>
  <si>
    <t>Medium</t>
  </si>
  <si>
    <t>ID</t>
  </si>
  <si>
    <t>Terminating</t>
  </si>
  <si>
    <t>Outstanding</t>
  </si>
  <si>
    <t>Legal Entity Name</t>
  </si>
  <si>
    <t>Professional Services</t>
  </si>
  <si>
    <t>Software Discovery Tool</t>
  </si>
  <si>
    <t>Aliases / Parent Co.</t>
  </si>
  <si>
    <t>Low</t>
  </si>
  <si>
    <t>Primary Contact Name</t>
  </si>
  <si>
    <t>Under RFP</t>
  </si>
  <si>
    <t>Escalated</t>
  </si>
  <si>
    <t>Data Management</t>
  </si>
  <si>
    <t>Business Unit Survey</t>
  </si>
  <si>
    <t>Expired</t>
  </si>
  <si>
    <t>Not Required</t>
  </si>
  <si>
    <t>Contact Email</t>
  </si>
  <si>
    <t>Subscription</t>
  </si>
  <si>
    <t>Contact Phone</t>
  </si>
  <si>
    <t>Internal Business Owner</t>
  </si>
  <si>
    <t>Data Transfers</t>
  </si>
  <si>
    <t>Department</t>
  </si>
  <si>
    <t>Marketing Services</t>
  </si>
  <si>
    <t>Security Review</t>
  </si>
  <si>
    <t>Description of Services</t>
  </si>
  <si>
    <t>Training</t>
  </si>
  <si>
    <t>Primary Service Category</t>
  </si>
  <si>
    <t>Consulting</t>
  </si>
  <si>
    <t>Legal Services</t>
  </si>
  <si>
    <t>Location / Datacenter</t>
  </si>
  <si>
    <t>Financial Services</t>
  </si>
  <si>
    <t>Main Website URL</t>
  </si>
  <si>
    <t>Business Operations</t>
  </si>
  <si>
    <t>Material Subcontractors</t>
  </si>
  <si>
    <t>Business Impact</t>
  </si>
  <si>
    <t>Inherent Risk</t>
  </si>
  <si>
    <t>Residual Risk</t>
  </si>
  <si>
    <t>Last Review Date</t>
  </si>
  <si>
    <t>Next Review Date</t>
  </si>
  <si>
    <t>Remediation / Notes</t>
  </si>
  <si>
    <t>TP-001</t>
  </si>
  <si>
    <t>Acme Cloud Services Inc.</t>
  </si>
  <si>
    <t>Acme Corp Global</t>
  </si>
  <si>
    <t>Jane Doe</t>
  </si>
  <si>
    <t>jdoe@acmecloud.com</t>
  </si>
  <si>
    <t>+1 555-0192</t>
  </si>
  <si>
    <t>Sarah Jenkins</t>
  </si>
  <si>
    <t>IT Infrastructure</t>
  </si>
  <si>
    <t>Hosted AWS Cloud Infrastructure &amp; Hosting</t>
  </si>
  <si>
    <t>US-East (Virginia)</t>
  </si>
  <si>
    <t>https://acmecloud.com</t>
  </si>
  <si>
    <t>AWS, Cloudflare</t>
  </si>
  <si>
    <t>2025-11-15</t>
  </si>
  <si>
    <t>2026-11-15</t>
  </si>
  <si>
    <t>SOC 2 Type II reviewed; minor finding remediated.</t>
  </si>
  <si>
    <t>TP-002</t>
  </si>
  <si>
    <t>Global Pay Solutions</t>
  </si>
  <si>
    <t>Global Pay Holdings</t>
  </si>
  <si>
    <t>Mark Smith</t>
  </si>
  <si>
    <t>msmith@globalpay.com</t>
  </si>
  <si>
    <t>+1 555-0144</t>
  </si>
  <si>
    <t>Robert Vance</t>
  </si>
  <si>
    <t>Finance</t>
  </si>
  <si>
    <t>Payment gateway and credit card processing</t>
  </si>
  <si>
    <t>Chicago, IL</t>
  </si>
  <si>
    <t>https://globalpay.com</t>
  </si>
  <si>
    <t>First Data</t>
  </si>
  <si>
    <t>2026-01-10</t>
  </si>
  <si>
    <t>2027-01-10</t>
  </si>
  <si>
    <t>PCI-DSS AOC validated.</t>
  </si>
  <si>
    <t>TP-003</t>
  </si>
  <si>
    <t>QuickDesign SaaS</t>
  </si>
  <si>
    <t>N/A</t>
  </si>
  <si>
    <t>Alex Jones</t>
  </si>
  <si>
    <t>alex@quickdesign.io</t>
  </si>
  <si>
    <t>+1 555-0823</t>
  </si>
  <si>
    <t>Emily Wong</t>
  </si>
  <si>
    <t>Marketing</t>
  </si>
  <si>
    <t>Graphic design and marketing asset tool</t>
  </si>
  <si>
    <t>Cloud (SaaS)</t>
  </si>
  <si>
    <t>https://quickdesign.io</t>
  </si>
  <si>
    <t>None</t>
  </si>
  <si>
    <t>2025-06-20</t>
  </si>
  <si>
    <t>2026-06-20</t>
  </si>
  <si>
    <t>No confidential data stored.</t>
  </si>
  <si>
    <t>TP-004</t>
  </si>
  <si>
    <t>Apex Legal Consulting</t>
  </si>
  <si>
    <t>Apex Partners LLC</t>
  </si>
  <si>
    <t>David Miller</t>
  </si>
  <si>
    <t>dmiller@apexlegal.com</t>
  </si>
  <si>
    <t>+1 555-0311</t>
  </si>
  <si>
    <t>Laura Vance</t>
  </si>
  <si>
    <t>Third-Party Risk Management Dashboard</t>
  </si>
  <si>
    <t>Legal</t>
  </si>
  <si>
    <t>External corporate legal and IP representation</t>
  </si>
  <si>
    <t>Real-time summary of vendor inventory, risk profile distribution, and assessment status.</t>
  </si>
  <si>
    <t>New York, NY</t>
  </si>
  <si>
    <t>https://apexlegal.com</t>
  </si>
  <si>
    <t>2025-09-05</t>
  </si>
  <si>
    <t>2026-09-05</t>
  </si>
  <si>
    <t>NDA signed.</t>
  </si>
  <si>
    <t>TP-005</t>
  </si>
  <si>
    <t>DataSync AI Corp</t>
  </si>
  <si>
    <t>DataSync Inc.</t>
  </si>
  <si>
    <t>Rachel Green</t>
  </si>
  <si>
    <t>rachel@datasync.ai</t>
  </si>
  <si>
    <t>+1 555-0982</t>
  </si>
  <si>
    <t>Michael Scott</t>
  </si>
  <si>
    <t>Data Analytics</t>
  </si>
  <si>
    <t>Automated data ETL and predictive modeling</t>
  </si>
  <si>
    <t>EU-Frankfurt</t>
  </si>
  <si>
    <t>https://datasync.ai</t>
  </si>
  <si>
    <t>Snowflake</t>
  </si>
  <si>
    <t>2026-02-01</t>
  </si>
  <si>
    <t>2026-08-01</t>
  </si>
  <si>
    <t>Inherent risk assessment completed; awaiting IS security audit.</t>
  </si>
  <si>
    <t>TP-006</t>
  </si>
  <si>
    <t>Total Third Parties</t>
  </si>
  <si>
    <t>Vending Refresh Co.</t>
  </si>
  <si>
    <t>In-Scope Vendors</t>
  </si>
  <si>
    <t>Tom Harris</t>
  </si>
  <si>
    <t>Critical / High Risk</t>
  </si>
  <si>
    <t>tom@vendingrefresh.com</t>
  </si>
  <si>
    <t>Pending Due Diligence</t>
  </si>
  <si>
    <t>+1 555-0442</t>
  </si>
  <si>
    <t>Residual Risk Breakdown</t>
  </si>
  <si>
    <t>Jim Halpert</t>
  </si>
  <si>
    <t>Facilities</t>
  </si>
  <si>
    <t>Risk Level</t>
  </si>
  <si>
    <t>Office breakroom vending machine replenishment</t>
  </si>
  <si>
    <t>Vendor Count</t>
  </si>
  <si>
    <t>Local Office</t>
  </si>
  <si>
    <t>https://vendingrefresh.com</t>
  </si>
  <si>
    <t>2025-01-15</t>
  </si>
  <si>
    <t>2027-01-15</t>
  </si>
  <si>
    <t>Vendor does not access sensitive network or systems.</t>
  </si>
  <si>
    <t>TP-007</t>
  </si>
  <si>
    <t>TP-008</t>
  </si>
  <si>
    <t>TP-009</t>
  </si>
  <si>
    <t>TP-010</t>
  </si>
  <si>
    <t>TP-011</t>
  </si>
  <si>
    <t>TP-012</t>
  </si>
  <si>
    <t>TP-013</t>
  </si>
  <si>
    <t>TP-014</t>
  </si>
  <si>
    <t>TP-015</t>
  </si>
  <si>
    <t>TP-016</t>
  </si>
  <si>
    <t>TP-017</t>
  </si>
  <si>
    <t>TP-018</t>
  </si>
  <si>
    <t>TP-019</t>
  </si>
  <si>
    <t>TP-020</t>
  </si>
  <si>
    <t>TP-021</t>
  </si>
  <si>
    <t>TP-022</t>
  </si>
  <si>
    <t>TP-023</t>
  </si>
  <si>
    <t>TP-024</t>
  </si>
  <si>
    <t>TP-025</t>
  </si>
  <si>
    <t>TP-026</t>
  </si>
  <si>
    <t>TP-027</t>
  </si>
  <si>
    <t>TP-028</t>
  </si>
  <si>
    <t>TP-029</t>
  </si>
  <si>
    <t>TP-030</t>
  </si>
  <si>
    <t>TP-031</t>
  </si>
  <si>
    <t>TP-032</t>
  </si>
  <si>
    <t>TP-033</t>
  </si>
  <si>
    <t>TP-034</t>
  </si>
  <si>
    <t>TP-035</t>
  </si>
  <si>
    <t>TP-036</t>
  </si>
  <si>
    <t>TP-037</t>
  </si>
  <si>
    <t>TP-038</t>
  </si>
  <si>
    <t>TP-039</t>
  </si>
  <si>
    <t>TP-040</t>
  </si>
  <si>
    <t>TP-041</t>
  </si>
  <si>
    <t>TP-042</t>
  </si>
  <si>
    <t>TP-043</t>
  </si>
  <si>
    <t>TP-044</t>
  </si>
  <si>
    <t>TP-045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</si>
</sst>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1"/>
      <name val="Calibri"/>
      <family val="2"/>
    </font>
    <font>
      <i/>
      <sz val="11"/>
      <color rgb="FF555555"/>
      <name val="Calibri"/>
      <family val="2"/>
    </font>
    <font>
      <sz val="10"/>
      <color theme="1"/>
      <name val="Calibri"/>
      <family val="2"/>
    </font>
    <font>
      <b/>
      <sz val="12"/>
      <color rgb="FF1B365D"/>
      <name val="Calibri"/>
      <family val="2"/>
    </font>
    <font>
      <i/>
      <sz val="11"/>
      <color rgb="FFE8EEF5"/>
      <name val="Calibri"/>
      <family val="2"/>
    </font>
    <font>
      <b/>
      <sz val="10"/>
      <color theme="1"/>
      <name val="Calibri"/>
      <family val="2"/>
    </font>
    <font>
      <b/>
      <sz val="10"/>
      <color rgb="FF78281F"/>
      <name val="Calibri"/>
      <family val="2"/>
    </font>
    <font>
      <b/>
      <sz val="10"/>
      <color rgb="FF7D6608"/>
      <name val="Calibri"/>
      <family val="2"/>
    </font>
    <font>
      <b/>
      <sz val="10"/>
      <color rgb="FF7E5109"/>
      <name val="Calibri"/>
      <family val="2"/>
    </font>
    <font>
      <b/>
      <sz val="10"/>
      <color rgb="FF145A32"/>
      <name val="Calibri"/>
      <family val="2"/>
    </font>
    <font>
      <b/>
      <sz val="18"/>
      <color rgb="FF1B365D"/>
      <name val="Calibri"/>
      <family val="2"/>
    </font>
    <font>
      <b/>
      <sz val="20"/>
      <color rgb="FF1B365D"/>
      <name val="Calibri"/>
      <family val="2"/>
    </font>
    <font>
      <b/>
      <sz val="9"/>
      <color rgb="FF55555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0F2537"/>
        <bgColor rgb="FF0F2537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F9FBFD"/>
        <bgColor rgb="FFF9FBFD"/>
      </patternFill>
    </fill>
    <fill>
      <patternFill patternType="solid">
        <fgColor rgb="FFFDEBD0"/>
        <bgColor rgb="FFFDEBD0"/>
      </patternFill>
    </fill>
    <fill>
      <patternFill patternType="solid">
        <fgColor rgb="FFD4EFDF"/>
        <bgColor rgb="FFD4EFD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5" fillId="0" borderId="4" xfId="0" applyFont="1" applyBorder="1"/>
    <xf numFmtId="0" fontId="6" fillId="0" borderId="0" xfId="0" applyFont="1"/>
    <xf numFmtId="0" fontId="8" fillId="0" borderId="4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vertical="center"/>
    </xf>
    <xf numFmtId="0" fontId="11" fillId="7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6" borderId="4" xfId="0" applyFont="1" applyFill="1" applyBorder="1"/>
    <xf numFmtId="0" fontId="0" fillId="0" borderId="0" xfId="0"/>
    <xf numFmtId="0" fontId="4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5" xfId="0" applyFont="1" applyBorder="1"/>
    <xf numFmtId="0" fontId="7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Residual Risk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Dashboard!$C$10</c:f>
              <c:strCache>
                <c:ptCount val="1"/>
                <c:pt idx="0">
                  <c:v>Vendor Count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Dashboard!$B$11:$B$14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48-4613-A5EE-86D5401B4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0655428"/>
        <c:axId val="619938921"/>
      </c:barChart>
      <c:catAx>
        <c:axId val="2000655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Risk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9938921"/>
        <c:crosses val="autoZero"/>
        <c:auto val="1"/>
        <c:lblAlgn val="ctr"/>
        <c:lblOffset val="100"/>
        <c:noMultiLvlLbl val="1"/>
      </c:catAx>
      <c:valAx>
        <c:axId val="619938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Number of Vendors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06554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5038725" cy="2514600"/>
    <xdr:graphicFrame macro="">
      <xdr:nvGraphicFramePr>
        <xdr:cNvPr id="619321500" name="Chart 1">
          <a:extLst>
            <a:ext uri="{FF2B5EF4-FFF2-40B4-BE49-F238E27FC236}">
              <a16:creationId xmlns:a16="http://schemas.microsoft.com/office/drawing/2014/main" id="{00000000-0008-0000-0200-00009C18E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4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13</v>
      </c>
    </row>
    <row r="3" spans="1:6" ht="14.4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 ht="14.4" x14ac:dyDescent="0.3">
      <c r="A4" s="2" t="s">
        <v>20</v>
      </c>
      <c r="B4" s="2" t="s">
        <v>21</v>
      </c>
      <c r="C4" s="2" t="s">
        <v>22</v>
      </c>
      <c r="D4" s="2" t="s">
        <v>24</v>
      </c>
      <c r="F4" s="2" t="s">
        <v>25</v>
      </c>
    </row>
    <row r="5" spans="1:6" ht="14.4" x14ac:dyDescent="0.3">
      <c r="A5" s="2" t="s">
        <v>27</v>
      </c>
      <c r="B5" s="2" t="s">
        <v>28</v>
      </c>
      <c r="C5" s="2" t="s">
        <v>30</v>
      </c>
      <c r="D5" s="2" t="s">
        <v>32</v>
      </c>
      <c r="F5" s="2" t="s">
        <v>33</v>
      </c>
    </row>
    <row r="6" spans="1:6" ht="14.4" x14ac:dyDescent="0.3">
      <c r="A6" s="2" t="s">
        <v>34</v>
      </c>
      <c r="B6" s="2" t="s">
        <v>35</v>
      </c>
      <c r="D6" s="2" t="s">
        <v>36</v>
      </c>
      <c r="F6" s="2" t="s">
        <v>37</v>
      </c>
    </row>
    <row r="7" spans="1:6" ht="14.4" x14ac:dyDescent="0.3">
      <c r="A7" s="2" t="s">
        <v>39</v>
      </c>
      <c r="B7" s="2" t="s">
        <v>42</v>
      </c>
    </row>
    <row r="8" spans="1:6" ht="14.4" x14ac:dyDescent="0.3">
      <c r="A8" s="2" t="s">
        <v>44</v>
      </c>
      <c r="B8" s="2" t="s">
        <v>45</v>
      </c>
    </row>
    <row r="9" spans="1:6" ht="14.4" x14ac:dyDescent="0.3">
      <c r="A9" s="2" t="s">
        <v>47</v>
      </c>
    </row>
    <row r="10" spans="1:6" ht="14.4" x14ac:dyDescent="0.3">
      <c r="A10" s="2" t="s">
        <v>49</v>
      </c>
    </row>
    <row r="11" spans="1:6" ht="14.4" x14ac:dyDescent="0.3">
      <c r="A11" s="2" t="s">
        <v>50</v>
      </c>
    </row>
    <row r="12" spans="1:6" ht="14.4" x14ac:dyDescent="0.3">
      <c r="A12" s="2" t="s">
        <v>52</v>
      </c>
    </row>
    <row r="13" spans="1:6" ht="14.4" x14ac:dyDescent="0.3">
      <c r="A13" s="2" t="s">
        <v>54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00"/>
  <sheetViews>
    <sheetView workbookViewId="0"/>
  </sheetViews>
  <sheetFormatPr defaultColWidth="14.44140625" defaultRowHeight="15" customHeight="1" x14ac:dyDescent="0.3"/>
  <cols>
    <col min="1" max="1" width="3" customWidth="1"/>
    <col min="2" max="2" width="18" customWidth="1"/>
    <col min="3" max="3" width="15" customWidth="1"/>
    <col min="4" max="7" width="14" customWidth="1"/>
    <col min="8" max="8" width="25" customWidth="1"/>
    <col min="9" max="26" width="8.6640625" customWidth="1"/>
  </cols>
  <sheetData>
    <row r="2" spans="2:8" ht="23.4" x14ac:dyDescent="0.45">
      <c r="B2" s="20" t="s">
        <v>114</v>
      </c>
      <c r="C2" s="18"/>
      <c r="D2" s="18"/>
      <c r="E2" s="18"/>
      <c r="F2" s="18"/>
      <c r="G2" s="18"/>
      <c r="H2" s="18"/>
    </row>
    <row r="3" spans="2:8" ht="14.4" x14ac:dyDescent="0.3">
      <c r="B3" s="19" t="s">
        <v>117</v>
      </c>
      <c r="C3" s="18"/>
      <c r="D3" s="18"/>
      <c r="E3" s="18"/>
      <c r="F3" s="18"/>
      <c r="G3" s="18"/>
      <c r="H3" s="18"/>
    </row>
    <row r="5" spans="2:8" ht="25.8" x14ac:dyDescent="0.3">
      <c r="B5" s="21">
        <f>COUNTA('Third-Party Inventory'!B6:B50)</f>
        <v>6</v>
      </c>
      <c r="C5" s="18"/>
      <c r="D5" s="21">
        <f>COUNTIF('Third-Party Inventory'!S6:S50, "In Scope")</f>
        <v>4</v>
      </c>
      <c r="E5" s="18"/>
      <c r="F5" s="21">
        <f>COUNTIF('Third-Party Inventory'!R6:R50, "Critical")+COUNTIF('Third-Party Inventory'!R6:R50, "High")</f>
        <v>2</v>
      </c>
      <c r="G5" s="18"/>
      <c r="H5" s="14">
        <f>COUNTIF('Third-Party Inventory'!V6:V50, "In Progress")+COUNTIF('Third-Party Inventory'!V6:V50, "Outstanding")</f>
        <v>1</v>
      </c>
    </row>
    <row r="6" spans="2:8" ht="14.4" x14ac:dyDescent="0.3">
      <c r="B6" s="22" t="s">
        <v>139</v>
      </c>
      <c r="C6" s="18"/>
      <c r="D6" s="22" t="s">
        <v>141</v>
      </c>
      <c r="E6" s="18"/>
      <c r="F6" s="22" t="s">
        <v>143</v>
      </c>
      <c r="G6" s="18"/>
      <c r="H6" s="15" t="s">
        <v>145</v>
      </c>
    </row>
    <row r="9" spans="2:8" ht="15.6" x14ac:dyDescent="0.3">
      <c r="B9" s="3" t="s">
        <v>147</v>
      </c>
    </row>
    <row r="10" spans="2:8" ht="14.4" x14ac:dyDescent="0.3">
      <c r="B10" s="1" t="s">
        <v>150</v>
      </c>
      <c r="C10" s="1" t="s">
        <v>152</v>
      </c>
    </row>
    <row r="11" spans="2:8" ht="14.4" x14ac:dyDescent="0.3">
      <c r="B11" s="4" t="s">
        <v>9</v>
      </c>
      <c r="C11" s="16">
        <f>COUNTIF('Third-Party Inventory'!R6:R50, "Critical")</f>
        <v>0</v>
      </c>
    </row>
    <row r="12" spans="2:8" ht="14.4" x14ac:dyDescent="0.3">
      <c r="B12" s="4" t="s">
        <v>16</v>
      </c>
      <c r="C12" s="16">
        <f>COUNTIF('Third-Party Inventory'!R6:R50, "High")</f>
        <v>2</v>
      </c>
    </row>
    <row r="13" spans="2:8" ht="14.4" x14ac:dyDescent="0.3">
      <c r="B13" s="4" t="s">
        <v>22</v>
      </c>
      <c r="C13" s="16">
        <f>COUNTIF('Third-Party Inventory'!R6:R50, "Medium")</f>
        <v>1</v>
      </c>
    </row>
    <row r="14" spans="2:8" ht="14.4" x14ac:dyDescent="0.3">
      <c r="B14" s="4" t="s">
        <v>30</v>
      </c>
      <c r="C14" s="16">
        <f>COUNTIF('Third-Party Inventory'!R6:R50, "Low")</f>
        <v>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6:C6"/>
    <mergeCell ref="D6:E6"/>
    <mergeCell ref="F6:G6"/>
    <mergeCell ref="B2:H2"/>
    <mergeCell ref="B3:H3"/>
    <mergeCell ref="B5:C5"/>
    <mergeCell ref="D5:E5"/>
    <mergeCell ref="F5:G5"/>
  </mergeCells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4.44140625" defaultRowHeight="15" customHeight="1" x14ac:dyDescent="0.3"/>
  <cols>
    <col min="1" max="1" width="8" customWidth="1"/>
    <col min="2" max="2" width="24" customWidth="1"/>
    <col min="3" max="4" width="20" customWidth="1"/>
    <col min="5" max="5" width="24" customWidth="1"/>
    <col min="6" max="6" width="16" customWidth="1"/>
    <col min="7" max="7" width="22" customWidth="1"/>
    <col min="8" max="8" width="16" customWidth="1"/>
    <col min="9" max="9" width="30" customWidth="1"/>
    <col min="10" max="11" width="22" customWidth="1"/>
    <col min="12" max="12" width="20" customWidth="1"/>
    <col min="13" max="14" width="22" customWidth="1"/>
    <col min="15" max="16" width="16" customWidth="1"/>
    <col min="17" max="18" width="15" customWidth="1"/>
    <col min="19" max="19" width="14" customWidth="1"/>
    <col min="20" max="21" width="16" customWidth="1"/>
    <col min="22" max="22" width="20" customWidth="1"/>
    <col min="23" max="23" width="48" customWidth="1"/>
    <col min="24" max="26" width="8.6640625" customWidth="1"/>
  </cols>
  <sheetData>
    <row r="1" spans="1:23" ht="27.75" customHeight="1" x14ac:dyDescent="0.3">
      <c r="A1" s="23" t="s">
        <v>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</row>
    <row r="2" spans="1:23" ht="18" customHeight="1" x14ac:dyDescent="0.3">
      <c r="A2" s="26" t="s">
        <v>12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/>
    </row>
    <row r="4" spans="1:23" ht="12" customHeight="1" x14ac:dyDescent="0.3"/>
    <row r="5" spans="1:23" ht="27.75" customHeight="1" x14ac:dyDescent="0.3">
      <c r="A5" s="5" t="s">
        <v>23</v>
      </c>
      <c r="B5" s="5" t="s">
        <v>26</v>
      </c>
      <c r="C5" s="5" t="s">
        <v>29</v>
      </c>
      <c r="D5" s="5" t="s">
        <v>31</v>
      </c>
      <c r="E5" s="5" t="s">
        <v>38</v>
      </c>
      <c r="F5" s="5" t="s">
        <v>40</v>
      </c>
      <c r="G5" s="5" t="s">
        <v>41</v>
      </c>
      <c r="H5" s="5" t="s">
        <v>43</v>
      </c>
      <c r="I5" s="5" t="s">
        <v>46</v>
      </c>
      <c r="J5" s="5" t="s">
        <v>48</v>
      </c>
      <c r="K5" s="5" t="s">
        <v>2</v>
      </c>
      <c r="L5" s="5" t="s">
        <v>51</v>
      </c>
      <c r="M5" s="5" t="s">
        <v>53</v>
      </c>
      <c r="N5" s="5" t="s">
        <v>55</v>
      </c>
      <c r="O5" s="5" t="s">
        <v>4</v>
      </c>
      <c r="P5" s="5" t="s">
        <v>56</v>
      </c>
      <c r="Q5" s="5" t="s">
        <v>57</v>
      </c>
      <c r="R5" s="5" t="s">
        <v>58</v>
      </c>
      <c r="S5" s="5" t="s">
        <v>5</v>
      </c>
      <c r="T5" s="5" t="s">
        <v>59</v>
      </c>
      <c r="U5" s="5" t="s">
        <v>60</v>
      </c>
      <c r="V5" s="5" t="s">
        <v>6</v>
      </c>
      <c r="W5" s="5" t="s">
        <v>61</v>
      </c>
    </row>
    <row r="6" spans="1:23" ht="24" customHeight="1" x14ac:dyDescent="0.3">
      <c r="A6" s="6" t="s">
        <v>62</v>
      </c>
      <c r="B6" s="7" t="s">
        <v>63</v>
      </c>
      <c r="C6" s="7" t="s">
        <v>64</v>
      </c>
      <c r="D6" s="7" t="s">
        <v>65</v>
      </c>
      <c r="E6" s="7" t="s">
        <v>66</v>
      </c>
      <c r="F6" s="6" t="s">
        <v>67</v>
      </c>
      <c r="G6" s="7" t="s">
        <v>68</v>
      </c>
      <c r="H6" s="7" t="s">
        <v>69</v>
      </c>
      <c r="I6" s="7" t="s">
        <v>70</v>
      </c>
      <c r="J6" s="7" t="s">
        <v>20</v>
      </c>
      <c r="K6" s="7" t="s">
        <v>8</v>
      </c>
      <c r="L6" s="7" t="s">
        <v>71</v>
      </c>
      <c r="M6" s="7" t="s">
        <v>72</v>
      </c>
      <c r="N6" s="7" t="s">
        <v>73</v>
      </c>
      <c r="O6" s="6" t="s">
        <v>10</v>
      </c>
      <c r="P6" s="6" t="s">
        <v>16</v>
      </c>
      <c r="Q6" s="8" t="s">
        <v>9</v>
      </c>
      <c r="R6" s="9" t="s">
        <v>22</v>
      </c>
      <c r="S6" s="6" t="s">
        <v>11</v>
      </c>
      <c r="T6" s="6" t="s">
        <v>74</v>
      </c>
      <c r="U6" s="6" t="s">
        <v>75</v>
      </c>
      <c r="V6" s="6" t="s">
        <v>13</v>
      </c>
      <c r="W6" s="7" t="s">
        <v>76</v>
      </c>
    </row>
    <row r="7" spans="1:23" ht="24" customHeight="1" x14ac:dyDescent="0.3">
      <c r="A7" s="10" t="s">
        <v>77</v>
      </c>
      <c r="B7" s="11" t="s">
        <v>78</v>
      </c>
      <c r="C7" s="11" t="s">
        <v>79</v>
      </c>
      <c r="D7" s="11" t="s">
        <v>80</v>
      </c>
      <c r="E7" s="11" t="s">
        <v>81</v>
      </c>
      <c r="F7" s="10" t="s">
        <v>82</v>
      </c>
      <c r="G7" s="11" t="s">
        <v>83</v>
      </c>
      <c r="H7" s="11" t="s">
        <v>84</v>
      </c>
      <c r="I7" s="11" t="s">
        <v>85</v>
      </c>
      <c r="J7" s="11" t="s">
        <v>52</v>
      </c>
      <c r="K7" s="11" t="s">
        <v>15</v>
      </c>
      <c r="L7" s="11" t="s">
        <v>86</v>
      </c>
      <c r="M7" s="11" t="s">
        <v>87</v>
      </c>
      <c r="N7" s="11" t="s">
        <v>88</v>
      </c>
      <c r="O7" s="10" t="s">
        <v>10</v>
      </c>
      <c r="P7" s="10" t="s">
        <v>16</v>
      </c>
      <c r="Q7" s="8" t="s">
        <v>9</v>
      </c>
      <c r="R7" s="12" t="s">
        <v>16</v>
      </c>
      <c r="S7" s="10" t="s">
        <v>11</v>
      </c>
      <c r="T7" s="10" t="s">
        <v>89</v>
      </c>
      <c r="U7" s="10" t="s">
        <v>90</v>
      </c>
      <c r="V7" s="10" t="s">
        <v>13</v>
      </c>
      <c r="W7" s="11" t="s">
        <v>91</v>
      </c>
    </row>
    <row r="8" spans="1:23" ht="24" customHeight="1" x14ac:dyDescent="0.3">
      <c r="A8" s="6" t="s">
        <v>92</v>
      </c>
      <c r="B8" s="7" t="s">
        <v>93</v>
      </c>
      <c r="C8" s="7" t="s">
        <v>94</v>
      </c>
      <c r="D8" s="7" t="s">
        <v>95</v>
      </c>
      <c r="E8" s="7" t="s">
        <v>96</v>
      </c>
      <c r="F8" s="6" t="s">
        <v>97</v>
      </c>
      <c r="G8" s="7" t="s">
        <v>98</v>
      </c>
      <c r="H8" s="7" t="s">
        <v>99</v>
      </c>
      <c r="I8" s="7" t="s">
        <v>100</v>
      </c>
      <c r="J8" s="7" t="s">
        <v>7</v>
      </c>
      <c r="K8" s="7" t="s">
        <v>21</v>
      </c>
      <c r="L8" s="7" t="s">
        <v>101</v>
      </c>
      <c r="M8" s="7" t="s">
        <v>102</v>
      </c>
      <c r="N8" s="7" t="s">
        <v>103</v>
      </c>
      <c r="O8" s="6" t="s">
        <v>10</v>
      </c>
      <c r="P8" s="6" t="s">
        <v>30</v>
      </c>
      <c r="Q8" s="9" t="s">
        <v>22</v>
      </c>
      <c r="R8" s="13" t="s">
        <v>30</v>
      </c>
      <c r="S8" s="6" t="s">
        <v>18</v>
      </c>
      <c r="T8" s="6" t="s">
        <v>104</v>
      </c>
      <c r="U8" s="6" t="s">
        <v>105</v>
      </c>
      <c r="V8" s="6" t="s">
        <v>13</v>
      </c>
      <c r="W8" s="7" t="s">
        <v>106</v>
      </c>
    </row>
    <row r="9" spans="1:23" ht="24" customHeight="1" x14ac:dyDescent="0.3">
      <c r="A9" s="10" t="s">
        <v>107</v>
      </c>
      <c r="B9" s="11" t="s">
        <v>108</v>
      </c>
      <c r="C9" s="11" t="s">
        <v>109</v>
      </c>
      <c r="D9" s="11" t="s">
        <v>110</v>
      </c>
      <c r="E9" s="11" t="s">
        <v>111</v>
      </c>
      <c r="F9" s="10" t="s">
        <v>112</v>
      </c>
      <c r="G9" s="11" t="s">
        <v>113</v>
      </c>
      <c r="H9" s="11" t="s">
        <v>115</v>
      </c>
      <c r="I9" s="11" t="s">
        <v>116</v>
      </c>
      <c r="J9" s="11" t="s">
        <v>50</v>
      </c>
      <c r="K9" s="11" t="s">
        <v>8</v>
      </c>
      <c r="L9" s="11" t="s">
        <v>118</v>
      </c>
      <c r="M9" s="11" t="s">
        <v>119</v>
      </c>
      <c r="N9" s="11" t="s">
        <v>94</v>
      </c>
      <c r="O9" s="10" t="s">
        <v>10</v>
      </c>
      <c r="P9" s="10" t="s">
        <v>22</v>
      </c>
      <c r="Q9" s="9" t="s">
        <v>22</v>
      </c>
      <c r="R9" s="13" t="s">
        <v>30</v>
      </c>
      <c r="S9" s="10" t="s">
        <v>11</v>
      </c>
      <c r="T9" s="10" t="s">
        <v>120</v>
      </c>
      <c r="U9" s="10" t="s">
        <v>121</v>
      </c>
      <c r="V9" s="10" t="s">
        <v>13</v>
      </c>
      <c r="W9" s="11" t="s">
        <v>122</v>
      </c>
    </row>
    <row r="10" spans="1:23" ht="24" customHeight="1" x14ac:dyDescent="0.3">
      <c r="A10" s="6" t="s">
        <v>123</v>
      </c>
      <c r="B10" s="7" t="s">
        <v>124</v>
      </c>
      <c r="C10" s="7" t="s">
        <v>125</v>
      </c>
      <c r="D10" s="7" t="s">
        <v>126</v>
      </c>
      <c r="E10" s="7" t="s">
        <v>127</v>
      </c>
      <c r="F10" s="6" t="s">
        <v>128</v>
      </c>
      <c r="G10" s="7" t="s">
        <v>129</v>
      </c>
      <c r="H10" s="7" t="s">
        <v>130</v>
      </c>
      <c r="I10" s="7" t="s">
        <v>131</v>
      </c>
      <c r="J10" s="7" t="s">
        <v>34</v>
      </c>
      <c r="K10" s="7" t="s">
        <v>42</v>
      </c>
      <c r="L10" s="7" t="s">
        <v>132</v>
      </c>
      <c r="M10" s="7" t="s">
        <v>133</v>
      </c>
      <c r="N10" s="7" t="s">
        <v>134</v>
      </c>
      <c r="O10" s="6" t="s">
        <v>17</v>
      </c>
      <c r="P10" s="6" t="s">
        <v>16</v>
      </c>
      <c r="Q10" s="8" t="s">
        <v>9</v>
      </c>
      <c r="R10" s="12" t="s">
        <v>16</v>
      </c>
      <c r="S10" s="6" t="s">
        <v>11</v>
      </c>
      <c r="T10" s="6" t="s">
        <v>135</v>
      </c>
      <c r="U10" s="6" t="s">
        <v>136</v>
      </c>
      <c r="V10" s="6" t="s">
        <v>19</v>
      </c>
      <c r="W10" s="7" t="s">
        <v>137</v>
      </c>
    </row>
    <row r="11" spans="1:23" ht="24" customHeight="1" x14ac:dyDescent="0.3">
      <c r="A11" s="10" t="s">
        <v>138</v>
      </c>
      <c r="B11" s="11" t="s">
        <v>140</v>
      </c>
      <c r="C11" s="11" t="s">
        <v>94</v>
      </c>
      <c r="D11" s="11" t="s">
        <v>142</v>
      </c>
      <c r="E11" s="11" t="s">
        <v>144</v>
      </c>
      <c r="F11" s="10" t="s">
        <v>146</v>
      </c>
      <c r="G11" s="11" t="s">
        <v>148</v>
      </c>
      <c r="H11" s="11" t="s">
        <v>149</v>
      </c>
      <c r="I11" s="11" t="s">
        <v>151</v>
      </c>
      <c r="J11" s="11" t="s">
        <v>54</v>
      </c>
      <c r="K11" s="11" t="s">
        <v>15</v>
      </c>
      <c r="L11" s="11" t="s">
        <v>153</v>
      </c>
      <c r="M11" s="11" t="s">
        <v>154</v>
      </c>
      <c r="N11" s="11" t="s">
        <v>103</v>
      </c>
      <c r="O11" s="10" t="s">
        <v>10</v>
      </c>
      <c r="P11" s="10" t="s">
        <v>30</v>
      </c>
      <c r="Q11" s="13" t="s">
        <v>30</v>
      </c>
      <c r="R11" s="13" t="s">
        <v>30</v>
      </c>
      <c r="S11" s="10" t="s">
        <v>18</v>
      </c>
      <c r="T11" s="10" t="s">
        <v>155</v>
      </c>
      <c r="U11" s="10" t="s">
        <v>156</v>
      </c>
      <c r="V11" s="10" t="s">
        <v>37</v>
      </c>
      <c r="W11" s="11" t="s">
        <v>157</v>
      </c>
    </row>
    <row r="12" spans="1:23" ht="19.5" customHeight="1" x14ac:dyDescent="0.3">
      <c r="A12" s="6" t="s">
        <v>158</v>
      </c>
      <c r="B12" s="2"/>
      <c r="C12" s="2"/>
      <c r="D12" s="2"/>
      <c r="E12" s="2"/>
      <c r="F12" s="6"/>
      <c r="G12" s="2"/>
      <c r="H12" s="2"/>
      <c r="I12" s="2"/>
      <c r="J12" s="2"/>
      <c r="K12" s="2"/>
      <c r="L12" s="2"/>
      <c r="M12" s="2"/>
      <c r="N12" s="2"/>
      <c r="O12" s="6"/>
      <c r="P12" s="6"/>
      <c r="Q12" s="6"/>
      <c r="R12" s="6"/>
      <c r="S12" s="6"/>
      <c r="T12" s="6"/>
      <c r="U12" s="6"/>
      <c r="V12" s="6"/>
      <c r="W12" s="2"/>
    </row>
    <row r="13" spans="1:23" ht="19.5" customHeight="1" x14ac:dyDescent="0.3">
      <c r="A13" s="10" t="s">
        <v>159</v>
      </c>
      <c r="B13" s="17"/>
      <c r="C13" s="17"/>
      <c r="D13" s="17"/>
      <c r="E13" s="17"/>
      <c r="F13" s="10"/>
      <c r="G13" s="17"/>
      <c r="H13" s="17"/>
      <c r="I13" s="17"/>
      <c r="J13" s="17"/>
      <c r="K13" s="17"/>
      <c r="L13" s="17"/>
      <c r="M13" s="17"/>
      <c r="N13" s="17"/>
      <c r="O13" s="10"/>
      <c r="P13" s="10"/>
      <c r="Q13" s="10"/>
      <c r="R13" s="10"/>
      <c r="S13" s="10"/>
      <c r="T13" s="10"/>
      <c r="U13" s="10"/>
      <c r="V13" s="10"/>
      <c r="W13" s="17"/>
    </row>
    <row r="14" spans="1:23" ht="19.5" customHeight="1" x14ac:dyDescent="0.3">
      <c r="A14" s="6" t="s">
        <v>160</v>
      </c>
      <c r="B14" s="2"/>
      <c r="C14" s="2"/>
      <c r="D14" s="2"/>
      <c r="E14" s="2"/>
      <c r="F14" s="6"/>
      <c r="G14" s="2"/>
      <c r="H14" s="2"/>
      <c r="I14" s="2"/>
      <c r="J14" s="2"/>
      <c r="K14" s="2"/>
      <c r="L14" s="2"/>
      <c r="M14" s="2"/>
      <c r="N14" s="2"/>
      <c r="O14" s="6"/>
      <c r="P14" s="6"/>
      <c r="Q14" s="6"/>
      <c r="R14" s="6"/>
      <c r="S14" s="6"/>
      <c r="T14" s="6"/>
      <c r="U14" s="6"/>
      <c r="V14" s="6"/>
      <c r="W14" s="2"/>
    </row>
    <row r="15" spans="1:23" ht="19.5" customHeight="1" x14ac:dyDescent="0.3">
      <c r="A15" s="10" t="s">
        <v>161</v>
      </c>
      <c r="B15" s="17"/>
      <c r="C15" s="17"/>
      <c r="D15" s="17"/>
      <c r="E15" s="17"/>
      <c r="F15" s="10"/>
      <c r="G15" s="17"/>
      <c r="H15" s="17"/>
      <c r="I15" s="17"/>
      <c r="J15" s="17"/>
      <c r="K15" s="17"/>
      <c r="L15" s="17"/>
      <c r="M15" s="17"/>
      <c r="N15" s="17"/>
      <c r="O15" s="10"/>
      <c r="P15" s="10"/>
      <c r="Q15" s="10"/>
      <c r="R15" s="10"/>
      <c r="S15" s="10"/>
      <c r="T15" s="10"/>
      <c r="U15" s="10"/>
      <c r="V15" s="10"/>
      <c r="W15" s="17"/>
    </row>
    <row r="16" spans="1:23" ht="19.5" customHeight="1" x14ac:dyDescent="0.3">
      <c r="A16" s="6" t="s">
        <v>162</v>
      </c>
      <c r="B16" s="2"/>
      <c r="C16" s="2"/>
      <c r="D16" s="2"/>
      <c r="E16" s="2"/>
      <c r="F16" s="6"/>
      <c r="G16" s="2"/>
      <c r="H16" s="2"/>
      <c r="I16" s="2"/>
      <c r="J16" s="2"/>
      <c r="K16" s="2"/>
      <c r="L16" s="2"/>
      <c r="M16" s="2"/>
      <c r="N16" s="2"/>
      <c r="O16" s="6"/>
      <c r="P16" s="6"/>
      <c r="Q16" s="6"/>
      <c r="R16" s="6"/>
      <c r="S16" s="6"/>
      <c r="T16" s="6"/>
      <c r="U16" s="6"/>
      <c r="V16" s="6"/>
      <c r="W16" s="2"/>
    </row>
    <row r="17" spans="1:23" ht="19.5" customHeight="1" x14ac:dyDescent="0.3">
      <c r="A17" s="10" t="s">
        <v>163</v>
      </c>
      <c r="B17" s="17"/>
      <c r="C17" s="17"/>
      <c r="D17" s="17"/>
      <c r="E17" s="17"/>
      <c r="F17" s="10"/>
      <c r="G17" s="17"/>
      <c r="H17" s="17"/>
      <c r="I17" s="17"/>
      <c r="J17" s="17"/>
      <c r="K17" s="17"/>
      <c r="L17" s="17"/>
      <c r="M17" s="17"/>
      <c r="N17" s="17"/>
      <c r="O17" s="10"/>
      <c r="P17" s="10"/>
      <c r="Q17" s="10"/>
      <c r="R17" s="10"/>
      <c r="S17" s="10"/>
      <c r="T17" s="10"/>
      <c r="U17" s="10"/>
      <c r="V17" s="10"/>
      <c r="W17" s="17"/>
    </row>
    <row r="18" spans="1:23" ht="19.5" customHeight="1" x14ac:dyDescent="0.3">
      <c r="A18" s="6" t="s">
        <v>164</v>
      </c>
      <c r="B18" s="2"/>
      <c r="C18" s="2"/>
      <c r="D18" s="2"/>
      <c r="E18" s="2"/>
      <c r="F18" s="6"/>
      <c r="G18" s="2"/>
      <c r="H18" s="2"/>
      <c r="I18" s="2"/>
      <c r="J18" s="2"/>
      <c r="K18" s="2"/>
      <c r="L18" s="2"/>
      <c r="M18" s="2"/>
      <c r="N18" s="2"/>
      <c r="O18" s="6"/>
      <c r="P18" s="6"/>
      <c r="Q18" s="6"/>
      <c r="R18" s="6"/>
      <c r="S18" s="6"/>
      <c r="T18" s="6"/>
      <c r="U18" s="6"/>
      <c r="V18" s="6"/>
      <c r="W18" s="2"/>
    </row>
    <row r="19" spans="1:23" ht="19.5" customHeight="1" x14ac:dyDescent="0.3">
      <c r="A19" s="10" t="s">
        <v>165</v>
      </c>
      <c r="B19" s="17"/>
      <c r="C19" s="17"/>
      <c r="D19" s="17"/>
      <c r="E19" s="17"/>
      <c r="F19" s="10"/>
      <c r="G19" s="17"/>
      <c r="H19" s="17"/>
      <c r="I19" s="17"/>
      <c r="J19" s="17"/>
      <c r="K19" s="17"/>
      <c r="L19" s="17"/>
      <c r="M19" s="17"/>
      <c r="N19" s="17"/>
      <c r="O19" s="10"/>
      <c r="P19" s="10"/>
      <c r="Q19" s="10"/>
      <c r="R19" s="10"/>
      <c r="S19" s="10"/>
      <c r="T19" s="10"/>
      <c r="U19" s="10"/>
      <c r="V19" s="10"/>
      <c r="W19" s="17"/>
    </row>
    <row r="20" spans="1:23" ht="19.5" customHeight="1" x14ac:dyDescent="0.3">
      <c r="A20" s="6" t="s">
        <v>166</v>
      </c>
      <c r="B20" s="2"/>
      <c r="C20" s="2"/>
      <c r="D20" s="2"/>
      <c r="E20" s="2"/>
      <c r="F20" s="6"/>
      <c r="G20" s="2"/>
      <c r="H20" s="2"/>
      <c r="I20" s="2"/>
      <c r="J20" s="2"/>
      <c r="K20" s="2"/>
      <c r="L20" s="2"/>
      <c r="M20" s="2"/>
      <c r="N20" s="2"/>
      <c r="O20" s="6"/>
      <c r="P20" s="6"/>
      <c r="Q20" s="6"/>
      <c r="R20" s="6"/>
      <c r="S20" s="6"/>
      <c r="T20" s="6"/>
      <c r="U20" s="6"/>
      <c r="V20" s="6"/>
      <c r="W20" s="2"/>
    </row>
    <row r="21" spans="1:23" ht="19.5" customHeight="1" x14ac:dyDescent="0.3">
      <c r="A21" s="10" t="s">
        <v>167</v>
      </c>
      <c r="B21" s="17"/>
      <c r="C21" s="17"/>
      <c r="D21" s="17"/>
      <c r="E21" s="17"/>
      <c r="F21" s="10"/>
      <c r="G21" s="17"/>
      <c r="H21" s="17"/>
      <c r="I21" s="17"/>
      <c r="J21" s="17"/>
      <c r="K21" s="17"/>
      <c r="L21" s="17"/>
      <c r="M21" s="17"/>
      <c r="N21" s="17"/>
      <c r="O21" s="10"/>
      <c r="P21" s="10"/>
      <c r="Q21" s="10"/>
      <c r="R21" s="10"/>
      <c r="S21" s="10"/>
      <c r="T21" s="10"/>
      <c r="U21" s="10"/>
      <c r="V21" s="10"/>
      <c r="W21" s="17"/>
    </row>
    <row r="22" spans="1:23" ht="19.5" customHeight="1" x14ac:dyDescent="0.3">
      <c r="A22" s="6" t="s">
        <v>168</v>
      </c>
      <c r="B22" s="2"/>
      <c r="C22" s="2"/>
      <c r="D22" s="2"/>
      <c r="E22" s="2"/>
      <c r="F22" s="6"/>
      <c r="G22" s="2"/>
      <c r="H22" s="2"/>
      <c r="I22" s="2"/>
      <c r="J22" s="2"/>
      <c r="K22" s="2"/>
      <c r="L22" s="2"/>
      <c r="M22" s="2"/>
      <c r="N22" s="2"/>
      <c r="O22" s="6"/>
      <c r="P22" s="6"/>
      <c r="Q22" s="6"/>
      <c r="R22" s="6"/>
      <c r="S22" s="6"/>
      <c r="T22" s="6"/>
      <c r="U22" s="6"/>
      <c r="V22" s="6"/>
      <c r="W22" s="2"/>
    </row>
    <row r="23" spans="1:23" ht="19.5" customHeight="1" x14ac:dyDescent="0.3">
      <c r="A23" s="10" t="s">
        <v>169</v>
      </c>
      <c r="B23" s="17"/>
      <c r="C23" s="17"/>
      <c r="D23" s="17"/>
      <c r="E23" s="17"/>
      <c r="F23" s="10"/>
      <c r="G23" s="17"/>
      <c r="H23" s="17"/>
      <c r="I23" s="17"/>
      <c r="J23" s="17"/>
      <c r="K23" s="17"/>
      <c r="L23" s="17"/>
      <c r="M23" s="17"/>
      <c r="N23" s="17"/>
      <c r="O23" s="10"/>
      <c r="P23" s="10"/>
      <c r="Q23" s="10"/>
      <c r="R23" s="10"/>
      <c r="S23" s="10"/>
      <c r="T23" s="10"/>
      <c r="U23" s="10"/>
      <c r="V23" s="10"/>
      <c r="W23" s="17"/>
    </row>
    <row r="24" spans="1:23" ht="19.5" customHeight="1" x14ac:dyDescent="0.3">
      <c r="A24" s="6" t="s">
        <v>170</v>
      </c>
      <c r="B24" s="2"/>
      <c r="C24" s="2"/>
      <c r="D24" s="2"/>
      <c r="E24" s="2"/>
      <c r="F24" s="6"/>
      <c r="G24" s="2"/>
      <c r="H24" s="2"/>
      <c r="I24" s="2"/>
      <c r="J24" s="2"/>
      <c r="K24" s="2"/>
      <c r="L24" s="2"/>
      <c r="M24" s="2"/>
      <c r="N24" s="2"/>
      <c r="O24" s="6"/>
      <c r="P24" s="6"/>
      <c r="Q24" s="6"/>
      <c r="R24" s="6"/>
      <c r="S24" s="6"/>
      <c r="T24" s="6"/>
      <c r="U24" s="6"/>
      <c r="V24" s="6"/>
      <c r="W24" s="2"/>
    </row>
    <row r="25" spans="1:23" ht="19.5" customHeight="1" x14ac:dyDescent="0.3">
      <c r="A25" s="10" t="s">
        <v>171</v>
      </c>
      <c r="B25" s="17"/>
      <c r="C25" s="17"/>
      <c r="D25" s="17"/>
      <c r="E25" s="17"/>
      <c r="F25" s="10"/>
      <c r="G25" s="17"/>
      <c r="H25" s="17"/>
      <c r="I25" s="17"/>
      <c r="J25" s="17"/>
      <c r="K25" s="17"/>
      <c r="L25" s="17"/>
      <c r="M25" s="17"/>
      <c r="N25" s="17"/>
      <c r="O25" s="10"/>
      <c r="P25" s="10"/>
      <c r="Q25" s="10"/>
      <c r="R25" s="10"/>
      <c r="S25" s="10"/>
      <c r="T25" s="10"/>
      <c r="U25" s="10"/>
      <c r="V25" s="10"/>
      <c r="W25" s="17"/>
    </row>
    <row r="26" spans="1:23" ht="19.5" customHeight="1" x14ac:dyDescent="0.3">
      <c r="A26" s="6" t="s">
        <v>172</v>
      </c>
      <c r="B26" s="2"/>
      <c r="C26" s="2"/>
      <c r="D26" s="2"/>
      <c r="E26" s="2"/>
      <c r="F26" s="6"/>
      <c r="G26" s="2"/>
      <c r="H26" s="2"/>
      <c r="I26" s="2"/>
      <c r="J26" s="2"/>
      <c r="K26" s="2"/>
      <c r="L26" s="2"/>
      <c r="M26" s="2"/>
      <c r="N26" s="2"/>
      <c r="O26" s="6"/>
      <c r="P26" s="6"/>
      <c r="Q26" s="6"/>
      <c r="R26" s="6"/>
      <c r="S26" s="6"/>
      <c r="T26" s="6"/>
      <c r="U26" s="6"/>
      <c r="V26" s="6"/>
      <c r="W26" s="2"/>
    </row>
    <row r="27" spans="1:23" ht="19.5" customHeight="1" x14ac:dyDescent="0.3">
      <c r="A27" s="10" t="s">
        <v>173</v>
      </c>
      <c r="B27" s="17"/>
      <c r="C27" s="17"/>
      <c r="D27" s="17"/>
      <c r="E27" s="17"/>
      <c r="F27" s="10"/>
      <c r="G27" s="17"/>
      <c r="H27" s="17"/>
      <c r="I27" s="17"/>
      <c r="J27" s="17"/>
      <c r="K27" s="17"/>
      <c r="L27" s="17"/>
      <c r="M27" s="17"/>
      <c r="N27" s="17"/>
      <c r="O27" s="10"/>
      <c r="P27" s="10"/>
      <c r="Q27" s="10"/>
      <c r="R27" s="10"/>
      <c r="S27" s="10"/>
      <c r="T27" s="10"/>
      <c r="U27" s="10"/>
      <c r="V27" s="10"/>
      <c r="W27" s="17"/>
    </row>
    <row r="28" spans="1:23" ht="19.5" customHeight="1" x14ac:dyDescent="0.3">
      <c r="A28" s="6" t="s">
        <v>174</v>
      </c>
      <c r="B28" s="2"/>
      <c r="C28" s="2"/>
      <c r="D28" s="2"/>
      <c r="E28" s="2"/>
      <c r="F28" s="6"/>
      <c r="G28" s="2"/>
      <c r="H28" s="2"/>
      <c r="I28" s="2"/>
      <c r="J28" s="2"/>
      <c r="K28" s="2"/>
      <c r="L28" s="2"/>
      <c r="M28" s="2"/>
      <c r="N28" s="2"/>
      <c r="O28" s="6"/>
      <c r="P28" s="6"/>
      <c r="Q28" s="6"/>
      <c r="R28" s="6"/>
      <c r="S28" s="6"/>
      <c r="T28" s="6"/>
      <c r="U28" s="6"/>
      <c r="V28" s="6"/>
      <c r="W28" s="2"/>
    </row>
    <row r="29" spans="1:23" ht="19.5" customHeight="1" x14ac:dyDescent="0.3">
      <c r="A29" s="10" t="s">
        <v>175</v>
      </c>
      <c r="B29" s="17"/>
      <c r="C29" s="17"/>
      <c r="D29" s="17"/>
      <c r="E29" s="17"/>
      <c r="F29" s="10"/>
      <c r="G29" s="17"/>
      <c r="H29" s="17"/>
      <c r="I29" s="17"/>
      <c r="J29" s="17"/>
      <c r="K29" s="17"/>
      <c r="L29" s="17"/>
      <c r="M29" s="17"/>
      <c r="N29" s="17"/>
      <c r="O29" s="10"/>
      <c r="P29" s="10"/>
      <c r="Q29" s="10"/>
      <c r="R29" s="10"/>
      <c r="S29" s="10"/>
      <c r="T29" s="10"/>
      <c r="U29" s="10"/>
      <c r="V29" s="10"/>
      <c r="W29" s="17"/>
    </row>
    <row r="30" spans="1:23" ht="19.5" customHeight="1" x14ac:dyDescent="0.3">
      <c r="A30" s="6" t="s">
        <v>176</v>
      </c>
      <c r="B30" s="2"/>
      <c r="C30" s="2"/>
      <c r="D30" s="2"/>
      <c r="E30" s="2"/>
      <c r="F30" s="6"/>
      <c r="G30" s="2"/>
      <c r="H30" s="2"/>
      <c r="I30" s="2"/>
      <c r="J30" s="2"/>
      <c r="K30" s="2"/>
      <c r="L30" s="2"/>
      <c r="M30" s="2"/>
      <c r="N30" s="2"/>
      <c r="O30" s="6"/>
      <c r="P30" s="6"/>
      <c r="Q30" s="6"/>
      <c r="R30" s="6"/>
      <c r="S30" s="6"/>
      <c r="T30" s="6"/>
      <c r="U30" s="6"/>
      <c r="V30" s="6"/>
      <c r="W30" s="2"/>
    </row>
    <row r="31" spans="1:23" ht="19.5" customHeight="1" x14ac:dyDescent="0.3">
      <c r="A31" s="10" t="s">
        <v>177</v>
      </c>
      <c r="B31" s="17"/>
      <c r="C31" s="17"/>
      <c r="D31" s="17"/>
      <c r="E31" s="17"/>
      <c r="F31" s="10"/>
      <c r="G31" s="17"/>
      <c r="H31" s="17"/>
      <c r="I31" s="17"/>
      <c r="J31" s="17"/>
      <c r="K31" s="17"/>
      <c r="L31" s="17"/>
      <c r="M31" s="17"/>
      <c r="N31" s="17"/>
      <c r="O31" s="10"/>
      <c r="P31" s="10"/>
      <c r="Q31" s="10"/>
      <c r="R31" s="10"/>
      <c r="S31" s="10"/>
      <c r="T31" s="10"/>
      <c r="U31" s="10"/>
      <c r="V31" s="10"/>
      <c r="W31" s="17"/>
    </row>
    <row r="32" spans="1:23" ht="19.5" customHeight="1" x14ac:dyDescent="0.3">
      <c r="A32" s="6" t="s">
        <v>178</v>
      </c>
      <c r="B32" s="2"/>
      <c r="C32" s="2"/>
      <c r="D32" s="2"/>
      <c r="E32" s="2"/>
      <c r="F32" s="6"/>
      <c r="G32" s="2"/>
      <c r="H32" s="2"/>
      <c r="I32" s="2"/>
      <c r="J32" s="2"/>
      <c r="K32" s="2"/>
      <c r="L32" s="2"/>
      <c r="M32" s="2"/>
      <c r="N32" s="2"/>
      <c r="O32" s="6"/>
      <c r="P32" s="6"/>
      <c r="Q32" s="6"/>
      <c r="R32" s="6"/>
      <c r="S32" s="6"/>
      <c r="T32" s="6"/>
      <c r="U32" s="6"/>
      <c r="V32" s="6"/>
      <c r="W32" s="2"/>
    </row>
    <row r="33" spans="1:23" ht="19.5" customHeight="1" x14ac:dyDescent="0.3">
      <c r="A33" s="10" t="s">
        <v>179</v>
      </c>
      <c r="B33" s="17"/>
      <c r="C33" s="17"/>
      <c r="D33" s="17"/>
      <c r="E33" s="17"/>
      <c r="F33" s="10"/>
      <c r="G33" s="17"/>
      <c r="H33" s="17"/>
      <c r="I33" s="17"/>
      <c r="J33" s="17"/>
      <c r="K33" s="17"/>
      <c r="L33" s="17"/>
      <c r="M33" s="17"/>
      <c r="N33" s="17"/>
      <c r="O33" s="10"/>
      <c r="P33" s="10"/>
      <c r="Q33" s="10"/>
      <c r="R33" s="10"/>
      <c r="S33" s="10"/>
      <c r="T33" s="10"/>
      <c r="U33" s="10"/>
      <c r="V33" s="10"/>
      <c r="W33" s="17"/>
    </row>
    <row r="34" spans="1:23" ht="19.5" customHeight="1" x14ac:dyDescent="0.3">
      <c r="A34" s="6" t="s">
        <v>180</v>
      </c>
      <c r="B34" s="2"/>
      <c r="C34" s="2"/>
      <c r="D34" s="2"/>
      <c r="E34" s="2"/>
      <c r="F34" s="6"/>
      <c r="G34" s="2"/>
      <c r="H34" s="2"/>
      <c r="I34" s="2"/>
      <c r="J34" s="2"/>
      <c r="K34" s="2"/>
      <c r="L34" s="2"/>
      <c r="M34" s="2"/>
      <c r="N34" s="2"/>
      <c r="O34" s="6"/>
      <c r="P34" s="6"/>
      <c r="Q34" s="6"/>
      <c r="R34" s="6"/>
      <c r="S34" s="6"/>
      <c r="T34" s="6"/>
      <c r="U34" s="6"/>
      <c r="V34" s="6"/>
      <c r="W34" s="2"/>
    </row>
    <row r="35" spans="1:23" ht="19.5" customHeight="1" x14ac:dyDescent="0.3">
      <c r="A35" s="10" t="s">
        <v>181</v>
      </c>
      <c r="B35" s="17"/>
      <c r="C35" s="17"/>
      <c r="D35" s="17"/>
      <c r="E35" s="17"/>
      <c r="F35" s="10"/>
      <c r="G35" s="17"/>
      <c r="H35" s="17"/>
      <c r="I35" s="17"/>
      <c r="J35" s="17"/>
      <c r="K35" s="17"/>
      <c r="L35" s="17"/>
      <c r="M35" s="17"/>
      <c r="N35" s="17"/>
      <c r="O35" s="10"/>
      <c r="P35" s="10"/>
      <c r="Q35" s="10"/>
      <c r="R35" s="10"/>
      <c r="S35" s="10"/>
      <c r="T35" s="10"/>
      <c r="U35" s="10"/>
      <c r="V35" s="10"/>
      <c r="W35" s="17"/>
    </row>
    <row r="36" spans="1:23" ht="19.5" customHeight="1" x14ac:dyDescent="0.3">
      <c r="A36" s="6" t="s">
        <v>182</v>
      </c>
      <c r="B36" s="2"/>
      <c r="C36" s="2"/>
      <c r="D36" s="2"/>
      <c r="E36" s="2"/>
      <c r="F36" s="6"/>
      <c r="G36" s="2"/>
      <c r="H36" s="2"/>
      <c r="I36" s="2"/>
      <c r="J36" s="2"/>
      <c r="K36" s="2"/>
      <c r="L36" s="2"/>
      <c r="M36" s="2"/>
      <c r="N36" s="2"/>
      <c r="O36" s="6"/>
      <c r="P36" s="6"/>
      <c r="Q36" s="6"/>
      <c r="R36" s="6"/>
      <c r="S36" s="6"/>
      <c r="T36" s="6"/>
      <c r="U36" s="6"/>
      <c r="V36" s="6"/>
      <c r="W36" s="2"/>
    </row>
    <row r="37" spans="1:23" ht="19.5" customHeight="1" x14ac:dyDescent="0.3">
      <c r="A37" s="10" t="s">
        <v>183</v>
      </c>
      <c r="B37" s="17"/>
      <c r="C37" s="17"/>
      <c r="D37" s="17"/>
      <c r="E37" s="17"/>
      <c r="F37" s="10"/>
      <c r="G37" s="17"/>
      <c r="H37" s="17"/>
      <c r="I37" s="17"/>
      <c r="J37" s="17"/>
      <c r="K37" s="17"/>
      <c r="L37" s="17"/>
      <c r="M37" s="17"/>
      <c r="N37" s="17"/>
      <c r="O37" s="10"/>
      <c r="P37" s="10"/>
      <c r="Q37" s="10"/>
      <c r="R37" s="10"/>
      <c r="S37" s="10"/>
      <c r="T37" s="10"/>
      <c r="U37" s="10"/>
      <c r="V37" s="10"/>
      <c r="W37" s="17"/>
    </row>
    <row r="38" spans="1:23" ht="19.5" customHeight="1" x14ac:dyDescent="0.3">
      <c r="A38" s="6" t="s">
        <v>184</v>
      </c>
      <c r="B38" s="2"/>
      <c r="C38" s="2"/>
      <c r="D38" s="2"/>
      <c r="E38" s="2"/>
      <c r="F38" s="6"/>
      <c r="G38" s="2"/>
      <c r="H38" s="2"/>
      <c r="I38" s="2"/>
      <c r="J38" s="2"/>
      <c r="K38" s="2"/>
      <c r="L38" s="2"/>
      <c r="M38" s="2"/>
      <c r="N38" s="2"/>
      <c r="O38" s="6"/>
      <c r="P38" s="6"/>
      <c r="Q38" s="6"/>
      <c r="R38" s="6"/>
      <c r="S38" s="6"/>
      <c r="T38" s="6"/>
      <c r="U38" s="6"/>
      <c r="V38" s="6"/>
      <c r="W38" s="2"/>
    </row>
    <row r="39" spans="1:23" ht="19.5" customHeight="1" x14ac:dyDescent="0.3">
      <c r="A39" s="10" t="s">
        <v>185</v>
      </c>
      <c r="B39" s="17"/>
      <c r="C39" s="17"/>
      <c r="D39" s="17"/>
      <c r="E39" s="17"/>
      <c r="F39" s="10"/>
      <c r="G39" s="17"/>
      <c r="H39" s="17"/>
      <c r="I39" s="17"/>
      <c r="J39" s="17"/>
      <c r="K39" s="17"/>
      <c r="L39" s="17"/>
      <c r="M39" s="17"/>
      <c r="N39" s="17"/>
      <c r="O39" s="10"/>
      <c r="P39" s="10"/>
      <c r="Q39" s="10"/>
      <c r="R39" s="10"/>
      <c r="S39" s="10"/>
      <c r="T39" s="10"/>
      <c r="U39" s="10"/>
      <c r="V39" s="10"/>
      <c r="W39" s="17"/>
    </row>
    <row r="40" spans="1:23" ht="19.5" customHeight="1" x14ac:dyDescent="0.3">
      <c r="A40" s="6" t="s">
        <v>186</v>
      </c>
      <c r="B40" s="2"/>
      <c r="C40" s="2"/>
      <c r="D40" s="2"/>
      <c r="E40" s="2"/>
      <c r="F40" s="6"/>
      <c r="G40" s="2"/>
      <c r="H40" s="2"/>
      <c r="I40" s="2"/>
      <c r="J40" s="2"/>
      <c r="K40" s="2"/>
      <c r="L40" s="2"/>
      <c r="M40" s="2"/>
      <c r="N40" s="2"/>
      <c r="O40" s="6"/>
      <c r="P40" s="6"/>
      <c r="Q40" s="6"/>
      <c r="R40" s="6"/>
      <c r="S40" s="6"/>
      <c r="T40" s="6"/>
      <c r="U40" s="6"/>
      <c r="V40" s="6"/>
      <c r="W40" s="2"/>
    </row>
    <row r="41" spans="1:23" ht="19.5" customHeight="1" x14ac:dyDescent="0.3">
      <c r="A41" s="10" t="s">
        <v>187</v>
      </c>
      <c r="B41" s="17"/>
      <c r="C41" s="17"/>
      <c r="D41" s="17"/>
      <c r="E41" s="17"/>
      <c r="F41" s="10"/>
      <c r="G41" s="17"/>
      <c r="H41" s="17"/>
      <c r="I41" s="17"/>
      <c r="J41" s="17"/>
      <c r="K41" s="17"/>
      <c r="L41" s="17"/>
      <c r="M41" s="17"/>
      <c r="N41" s="17"/>
      <c r="O41" s="10"/>
      <c r="P41" s="10"/>
      <c r="Q41" s="10"/>
      <c r="R41" s="10"/>
      <c r="S41" s="10"/>
      <c r="T41" s="10"/>
      <c r="U41" s="10"/>
      <c r="V41" s="10"/>
      <c r="W41" s="17"/>
    </row>
    <row r="42" spans="1:23" ht="19.5" customHeight="1" x14ac:dyDescent="0.3">
      <c r="A42" s="6" t="s">
        <v>188</v>
      </c>
      <c r="B42" s="2"/>
      <c r="C42" s="2"/>
      <c r="D42" s="2"/>
      <c r="E42" s="2"/>
      <c r="F42" s="6"/>
      <c r="G42" s="2"/>
      <c r="H42" s="2"/>
      <c r="I42" s="2"/>
      <c r="J42" s="2"/>
      <c r="K42" s="2"/>
      <c r="L42" s="2"/>
      <c r="M42" s="2"/>
      <c r="N42" s="2"/>
      <c r="O42" s="6"/>
      <c r="P42" s="6"/>
      <c r="Q42" s="6"/>
      <c r="R42" s="6"/>
      <c r="S42" s="6"/>
      <c r="T42" s="6"/>
      <c r="U42" s="6"/>
      <c r="V42" s="6"/>
      <c r="W42" s="2"/>
    </row>
    <row r="43" spans="1:23" ht="19.5" customHeight="1" x14ac:dyDescent="0.3">
      <c r="A43" s="10" t="s">
        <v>189</v>
      </c>
      <c r="B43" s="17"/>
      <c r="C43" s="17"/>
      <c r="D43" s="17"/>
      <c r="E43" s="17"/>
      <c r="F43" s="10"/>
      <c r="G43" s="17"/>
      <c r="H43" s="17"/>
      <c r="I43" s="17"/>
      <c r="J43" s="17"/>
      <c r="K43" s="17"/>
      <c r="L43" s="17"/>
      <c r="M43" s="17"/>
      <c r="N43" s="17"/>
      <c r="O43" s="10"/>
      <c r="P43" s="10"/>
      <c r="Q43" s="10"/>
      <c r="R43" s="10"/>
      <c r="S43" s="10"/>
      <c r="T43" s="10"/>
      <c r="U43" s="10"/>
      <c r="V43" s="10"/>
      <c r="W43" s="17"/>
    </row>
    <row r="44" spans="1:23" ht="19.5" customHeight="1" x14ac:dyDescent="0.3">
      <c r="A44" s="6" t="s">
        <v>190</v>
      </c>
      <c r="B44" s="2"/>
      <c r="C44" s="2"/>
      <c r="D44" s="2"/>
      <c r="E44" s="2"/>
      <c r="F44" s="6"/>
      <c r="G44" s="2"/>
      <c r="H44" s="2"/>
      <c r="I44" s="2"/>
      <c r="J44" s="2"/>
      <c r="K44" s="2"/>
      <c r="L44" s="2"/>
      <c r="M44" s="2"/>
      <c r="N44" s="2"/>
      <c r="O44" s="6"/>
      <c r="P44" s="6"/>
      <c r="Q44" s="6"/>
      <c r="R44" s="6"/>
      <c r="S44" s="6"/>
      <c r="T44" s="6"/>
      <c r="U44" s="6"/>
      <c r="V44" s="6"/>
      <c r="W44" s="2"/>
    </row>
    <row r="45" spans="1:23" ht="19.5" customHeight="1" x14ac:dyDescent="0.3">
      <c r="A45" s="10" t="s">
        <v>191</v>
      </c>
      <c r="B45" s="17"/>
      <c r="C45" s="17"/>
      <c r="D45" s="17"/>
      <c r="E45" s="17"/>
      <c r="F45" s="10"/>
      <c r="G45" s="17"/>
      <c r="H45" s="17"/>
      <c r="I45" s="17"/>
      <c r="J45" s="17"/>
      <c r="K45" s="17"/>
      <c r="L45" s="17"/>
      <c r="M45" s="17"/>
      <c r="N45" s="17"/>
      <c r="O45" s="10"/>
      <c r="P45" s="10"/>
      <c r="Q45" s="10"/>
      <c r="R45" s="10"/>
      <c r="S45" s="10"/>
      <c r="T45" s="10"/>
      <c r="U45" s="10"/>
      <c r="V45" s="10"/>
      <c r="W45" s="17"/>
    </row>
    <row r="46" spans="1:23" ht="19.5" customHeight="1" x14ac:dyDescent="0.3">
      <c r="A46" s="6" t="s">
        <v>192</v>
      </c>
      <c r="B46" s="2"/>
      <c r="C46" s="2"/>
      <c r="D46" s="2"/>
      <c r="E46" s="2"/>
      <c r="F46" s="6"/>
      <c r="G46" s="2"/>
      <c r="H46" s="2"/>
      <c r="I46" s="2"/>
      <c r="J46" s="2"/>
      <c r="K46" s="2"/>
      <c r="L46" s="2"/>
      <c r="M46" s="2"/>
      <c r="N46" s="2"/>
      <c r="O46" s="6"/>
      <c r="P46" s="6"/>
      <c r="Q46" s="6"/>
      <c r="R46" s="6"/>
      <c r="S46" s="6"/>
      <c r="T46" s="6"/>
      <c r="U46" s="6"/>
      <c r="V46" s="6"/>
      <c r="W46" s="2"/>
    </row>
    <row r="47" spans="1:23" ht="19.5" customHeight="1" x14ac:dyDescent="0.3">
      <c r="A47" s="10" t="s">
        <v>193</v>
      </c>
      <c r="B47" s="17"/>
      <c r="C47" s="17"/>
      <c r="D47" s="17"/>
      <c r="E47" s="17"/>
      <c r="F47" s="10"/>
      <c r="G47" s="17"/>
      <c r="H47" s="17"/>
      <c r="I47" s="17"/>
      <c r="J47" s="17"/>
      <c r="K47" s="17"/>
      <c r="L47" s="17"/>
      <c r="M47" s="17"/>
      <c r="N47" s="17"/>
      <c r="O47" s="10"/>
      <c r="P47" s="10"/>
      <c r="Q47" s="10"/>
      <c r="R47" s="10"/>
      <c r="S47" s="10"/>
      <c r="T47" s="10"/>
      <c r="U47" s="10"/>
      <c r="V47" s="10"/>
      <c r="W47" s="17"/>
    </row>
    <row r="48" spans="1:23" ht="19.5" customHeight="1" x14ac:dyDescent="0.3">
      <c r="A48" s="6" t="s">
        <v>194</v>
      </c>
      <c r="B48" s="2"/>
      <c r="C48" s="2"/>
      <c r="D48" s="2"/>
      <c r="E48" s="2"/>
      <c r="F48" s="6"/>
      <c r="G48" s="2"/>
      <c r="H48" s="2"/>
      <c r="I48" s="2"/>
      <c r="J48" s="2"/>
      <c r="K48" s="2"/>
      <c r="L48" s="2"/>
      <c r="M48" s="2"/>
      <c r="N48" s="2"/>
      <c r="O48" s="6"/>
      <c r="P48" s="6"/>
      <c r="Q48" s="6"/>
      <c r="R48" s="6"/>
      <c r="S48" s="6"/>
      <c r="T48" s="6"/>
      <c r="U48" s="6"/>
      <c r="V48" s="6"/>
      <c r="W48" s="2"/>
    </row>
    <row r="49" spans="1:23" ht="19.5" customHeight="1" x14ac:dyDescent="0.3">
      <c r="A49" s="10" t="s">
        <v>195</v>
      </c>
      <c r="B49" s="17"/>
      <c r="C49" s="17"/>
      <c r="D49" s="17"/>
      <c r="E49" s="17"/>
      <c r="F49" s="10"/>
      <c r="G49" s="17"/>
      <c r="H49" s="17"/>
      <c r="I49" s="17"/>
      <c r="J49" s="17"/>
      <c r="K49" s="17"/>
      <c r="L49" s="17"/>
      <c r="M49" s="17"/>
      <c r="N49" s="17"/>
      <c r="O49" s="10"/>
      <c r="P49" s="10"/>
      <c r="Q49" s="10"/>
      <c r="R49" s="10"/>
      <c r="S49" s="10"/>
      <c r="T49" s="10"/>
      <c r="U49" s="10"/>
      <c r="V49" s="10"/>
      <c r="W49" s="17"/>
    </row>
    <row r="50" spans="1:23" ht="19.5" customHeight="1" x14ac:dyDescent="0.3">
      <c r="A50" s="6" t="s">
        <v>196</v>
      </c>
      <c r="B50" s="2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6"/>
      <c r="P50" s="6"/>
      <c r="Q50" s="6"/>
      <c r="R50" s="6"/>
      <c r="S50" s="6"/>
      <c r="T50" s="6"/>
      <c r="U50" s="6"/>
      <c r="V50" s="6"/>
      <c r="W50" s="2"/>
    </row>
    <row r="51" spans="1:23" ht="15.75" customHeight="1" x14ac:dyDescent="0.3"/>
    <row r="52" spans="1:23" ht="15.75" customHeight="1" x14ac:dyDescent="0.3"/>
    <row r="53" spans="1:23" ht="15.75" customHeight="1" x14ac:dyDescent="0.3"/>
    <row r="54" spans="1:23" ht="15.75" customHeight="1" x14ac:dyDescent="0.3"/>
    <row r="55" spans="1:23" ht="15.75" customHeight="1" x14ac:dyDescent="0.3"/>
    <row r="56" spans="1:23" ht="15.75" customHeight="1" x14ac:dyDescent="0.3"/>
    <row r="57" spans="1:23" ht="15.75" customHeight="1" x14ac:dyDescent="0.3"/>
    <row r="58" spans="1:23" ht="15.75" customHeight="1" x14ac:dyDescent="0.3"/>
    <row r="59" spans="1:23" ht="15.75" customHeight="1" x14ac:dyDescent="0.3"/>
    <row r="60" spans="1:23" ht="15.75" customHeight="1" x14ac:dyDescent="0.3"/>
    <row r="61" spans="1:23" ht="15.75" customHeight="1" x14ac:dyDescent="0.3"/>
    <row r="62" spans="1:23" ht="15.75" customHeight="1" x14ac:dyDescent="0.3"/>
    <row r="63" spans="1:23" ht="15.75" customHeight="1" x14ac:dyDescent="0.3"/>
    <row r="64" spans="1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W1"/>
    <mergeCell ref="A2:W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300-000000000000}">
          <x14:formula1>
            <xm:f>'Reference Data'!$B$2:$B$8</xm:f>
          </x14:formula1>
          <xm:sqref>K6:K50</xm:sqref>
        </x14:dataValidation>
        <x14:dataValidation type="list" allowBlank="1" xr:uid="{00000000-0002-0000-0300-000001000000}">
          <x14:formula1>
            <xm:f>'Reference Data'!$D$2:$D$6</xm:f>
          </x14:formula1>
          <xm:sqref>O6:O50</xm:sqref>
        </x14:dataValidation>
        <x14:dataValidation type="list" allowBlank="1" xr:uid="{00000000-0002-0000-0300-000002000000}">
          <x14:formula1>
            <xm:f>'Reference Data'!$F$2:$F$6</xm:f>
          </x14:formula1>
          <xm:sqref>V6:V50</xm:sqref>
        </x14:dataValidation>
        <x14:dataValidation type="list" allowBlank="1" xr:uid="{00000000-0002-0000-0300-000003000000}">
          <x14:formula1>
            <xm:f>'Reference Data'!$A$2:$A$13</xm:f>
          </x14:formula1>
          <xm:sqref>J6:J50</xm:sqref>
        </x14:dataValidation>
        <x14:dataValidation type="list" allowBlank="1" xr:uid="{00000000-0002-0000-0300-000004000000}">
          <x14:formula1>
            <xm:f>'Reference Data'!$C$2:$C$5</xm:f>
          </x14:formula1>
          <xm:sqref>P6:R50</xm:sqref>
        </x14:dataValidation>
        <x14:dataValidation type="list" allowBlank="1" xr:uid="{00000000-0002-0000-0300-000005000000}">
          <x14:formula1>
            <xm:f>'Reference Data'!$E$2:$E$3</xm:f>
          </x14:formula1>
          <xm:sqref>S6:S50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 Data</vt:lpstr>
      <vt:lpstr>Dashboard</vt:lpstr>
      <vt:lpstr>Third-Party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Gandal</cp:lastModifiedBy>
  <dcterms:created xsi:type="dcterms:W3CDTF">2026-08-11T16:24:11Z</dcterms:created>
  <dcterms:modified xsi:type="dcterms:W3CDTF">2026-09-03T22:31:26Z</dcterms:modified>
</cp:coreProperties>
</file>